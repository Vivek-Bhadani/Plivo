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ovement in rules.py" sheetId="1" r:id="rId4"/>
    <sheet state="visible" name="Improvement in ranker_onnx.py &amp;" sheetId="2" r:id="rId5"/>
    <sheet state="visible" name="Improvement in ranker_onnx.py" sheetId="3" r:id="rId6"/>
  </sheets>
  <definedNames/>
  <calcPr/>
</workbook>
</file>

<file path=xl/sharedStrings.xml><?xml version="1.0" encoding="utf-8"?>
<sst xmlns="http://schemas.openxmlformats.org/spreadsheetml/2006/main" count="63" uniqueCount="18">
  <si>
    <t>Metric</t>
  </si>
  <si>
    <t>Baseline</t>
  </si>
  <si>
    <t>Improvement in rules.py</t>
  </si>
  <si>
    <t>Δ (Change) = Improved - Baseline</t>
  </si>
  <si>
    <t>Desired</t>
  </si>
  <si>
    <t>WER</t>
  </si>
  <si>
    <t>Negative</t>
  </si>
  <si>
    <t>CER</t>
  </si>
  <si>
    <t>Email Accuracy</t>
  </si>
  <si>
    <t>Positive</t>
  </si>
  <si>
    <t>Number Accuracy</t>
  </si>
  <si>
    <t>Name F1</t>
  </si>
  <si>
    <t>Punctuation F1</t>
  </si>
  <si>
    <t>p50 Latency (ms)</t>
  </si>
  <si>
    <t>&lt; 30 ms</t>
  </si>
  <si>
    <t>p95 Latency (ms)</t>
  </si>
  <si>
    <t>Improvement in ranker_onnx.py &amp; rules.py</t>
  </si>
  <si>
    <t>Improvement in ranker_onnx.py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</si>
</sst>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23.63"/>
    <col customWidth="1" min="4" max="4" width="3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>
        <v>0.5774</v>
      </c>
      <c r="C2" s="4">
        <v>0.4929</v>
      </c>
      <c r="D2" s="4">
        <f t="shared" ref="D2:D9" si="1">C2-B2</f>
        <v>-0.0845</v>
      </c>
      <c r="E2" s="4" t="s">
        <v>6</v>
      </c>
    </row>
    <row r="3">
      <c r="A3" s="3" t="s">
        <v>7</v>
      </c>
      <c r="B3" s="4">
        <v>0.1814</v>
      </c>
      <c r="C3" s="4">
        <v>0.1027</v>
      </c>
      <c r="D3" s="4">
        <f t="shared" si="1"/>
        <v>-0.0787</v>
      </c>
      <c r="E3" s="4" t="s">
        <v>6</v>
      </c>
    </row>
    <row r="4">
      <c r="A4" s="3" t="s">
        <v>8</v>
      </c>
      <c r="B4" s="4">
        <v>0.0</v>
      </c>
      <c r="C4" s="4">
        <v>0.0</v>
      </c>
      <c r="D4" s="4">
        <f t="shared" si="1"/>
        <v>0</v>
      </c>
      <c r="E4" s="4" t="s">
        <v>9</v>
      </c>
    </row>
    <row r="5">
      <c r="A5" s="3" t="s">
        <v>10</v>
      </c>
      <c r="B5" s="4">
        <v>0.3</v>
      </c>
      <c r="C5" s="4">
        <v>0.2</v>
      </c>
      <c r="D5" s="4">
        <f t="shared" si="1"/>
        <v>-0.1</v>
      </c>
      <c r="E5" s="4" t="s">
        <v>9</v>
      </c>
    </row>
    <row r="6">
      <c r="A6" s="3" t="s">
        <v>11</v>
      </c>
      <c r="B6" s="4">
        <v>0.7667</v>
      </c>
      <c r="C6" s="4">
        <v>1.0</v>
      </c>
      <c r="D6" s="4">
        <f t="shared" si="1"/>
        <v>0.2333</v>
      </c>
      <c r="E6" s="4" t="s">
        <v>9</v>
      </c>
    </row>
    <row r="7">
      <c r="A7" s="3" t="s">
        <v>12</v>
      </c>
      <c r="B7" s="4">
        <v>0.4163</v>
      </c>
      <c r="C7" s="4">
        <v>0.4411</v>
      </c>
      <c r="D7" s="4">
        <f t="shared" si="1"/>
        <v>0.0248</v>
      </c>
      <c r="E7" s="4" t="s">
        <v>9</v>
      </c>
    </row>
    <row r="8">
      <c r="A8" s="3" t="s">
        <v>13</v>
      </c>
      <c r="B8" s="4">
        <v>9793.27</v>
      </c>
      <c r="C8" s="4">
        <v>13995.68</v>
      </c>
      <c r="D8" s="4">
        <f t="shared" si="1"/>
        <v>4202.41</v>
      </c>
      <c r="E8" s="4" t="s">
        <v>14</v>
      </c>
    </row>
    <row r="9">
      <c r="A9" s="3" t="s">
        <v>15</v>
      </c>
      <c r="B9" s="4">
        <v>12617.17</v>
      </c>
      <c r="C9" s="4">
        <v>16186.86</v>
      </c>
      <c r="D9" s="4">
        <f t="shared" si="1"/>
        <v>3569.69</v>
      </c>
      <c r="E9" s="4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35.63"/>
    <col customWidth="1" min="4" max="4" width="30.75"/>
  </cols>
  <sheetData>
    <row r="1">
      <c r="A1" s="1" t="s">
        <v>0</v>
      </c>
      <c r="B1" s="2" t="s">
        <v>1</v>
      </c>
      <c r="C1" s="2" t="s">
        <v>16</v>
      </c>
      <c r="D1" s="2" t="s">
        <v>3</v>
      </c>
      <c r="E1" s="2" t="s">
        <v>4</v>
      </c>
    </row>
    <row r="2">
      <c r="A2" s="3" t="s">
        <v>5</v>
      </c>
      <c r="B2" s="4">
        <v>0.5774</v>
      </c>
      <c r="C2" s="4">
        <v>0.4908</v>
      </c>
      <c r="D2" s="4">
        <f t="shared" ref="D2:D9" si="1">C2-B2</f>
        <v>-0.0866</v>
      </c>
      <c r="E2" s="4" t="s">
        <v>6</v>
      </c>
    </row>
    <row r="3">
      <c r="A3" s="3" t="s">
        <v>7</v>
      </c>
      <c r="B3" s="4">
        <v>0.1814</v>
      </c>
      <c r="C3" s="4">
        <v>0.1224</v>
      </c>
      <c r="D3" s="4">
        <f t="shared" si="1"/>
        <v>-0.059</v>
      </c>
      <c r="E3" s="4" t="s">
        <v>6</v>
      </c>
    </row>
    <row r="4">
      <c r="A4" s="3" t="s">
        <v>8</v>
      </c>
      <c r="B4" s="4">
        <v>0.0</v>
      </c>
      <c r="C4" s="4">
        <v>0.0</v>
      </c>
      <c r="D4" s="4">
        <f t="shared" si="1"/>
        <v>0</v>
      </c>
      <c r="E4" s="4" t="s">
        <v>9</v>
      </c>
    </row>
    <row r="5">
      <c r="A5" s="3" t="s">
        <v>10</v>
      </c>
      <c r="B5" s="4">
        <v>0.3</v>
      </c>
      <c r="C5" s="4">
        <v>0.2</v>
      </c>
      <c r="D5" s="4">
        <f t="shared" si="1"/>
        <v>-0.1</v>
      </c>
      <c r="E5" s="4" t="s">
        <v>9</v>
      </c>
    </row>
    <row r="6">
      <c r="A6" s="3" t="s">
        <v>11</v>
      </c>
      <c r="B6" s="4">
        <v>0.7667</v>
      </c>
      <c r="C6" s="4">
        <v>1.0</v>
      </c>
      <c r="D6" s="4">
        <f t="shared" si="1"/>
        <v>0.2333</v>
      </c>
      <c r="E6" s="4" t="s">
        <v>9</v>
      </c>
    </row>
    <row r="7">
      <c r="A7" s="3" t="s">
        <v>12</v>
      </c>
      <c r="B7" s="4">
        <v>0.4163</v>
      </c>
      <c r="C7" s="4">
        <v>0.4163</v>
      </c>
      <c r="D7" s="4">
        <f t="shared" si="1"/>
        <v>0</v>
      </c>
      <c r="E7" s="4" t="s">
        <v>9</v>
      </c>
    </row>
    <row r="8">
      <c r="A8" s="3" t="s">
        <v>13</v>
      </c>
      <c r="B8" s="4">
        <v>9793.27</v>
      </c>
      <c r="C8" s="4">
        <v>1310.15</v>
      </c>
      <c r="D8" s="4">
        <f t="shared" si="1"/>
        <v>-8483.12</v>
      </c>
      <c r="E8" s="4" t="s">
        <v>14</v>
      </c>
    </row>
    <row r="9">
      <c r="A9" s="3" t="s">
        <v>15</v>
      </c>
      <c r="B9" s="4">
        <v>12617.17</v>
      </c>
      <c r="C9" s="4">
        <v>1980.85</v>
      </c>
      <c r="D9" s="4">
        <f t="shared" si="1"/>
        <v>-10636.32</v>
      </c>
      <c r="E9" s="4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3" max="3" width="28.25"/>
    <col customWidth="1" min="4" max="4" width="30.0"/>
  </cols>
  <sheetData>
    <row r="1">
      <c r="A1" s="1" t="s">
        <v>0</v>
      </c>
      <c r="B1" s="2" t="s">
        <v>1</v>
      </c>
      <c r="C1" s="2" t="s">
        <v>17</v>
      </c>
      <c r="D1" s="2" t="s">
        <v>3</v>
      </c>
      <c r="E1" s="2" t="s">
        <v>4</v>
      </c>
    </row>
    <row r="2">
      <c r="A2" s="3" t="s">
        <v>5</v>
      </c>
      <c r="B2" s="4">
        <v>0.5774</v>
      </c>
      <c r="C2" s="4">
        <v>0.4882</v>
      </c>
      <c r="D2" s="4">
        <f t="shared" ref="D2:D9" si="1">C2-B2</f>
        <v>-0.0892</v>
      </c>
      <c r="E2" s="4" t="s">
        <v>6</v>
      </c>
    </row>
    <row r="3">
      <c r="A3" s="3" t="s">
        <v>7</v>
      </c>
      <c r="B3" s="4">
        <v>0.1814</v>
      </c>
      <c r="C3" s="4">
        <v>0.1526</v>
      </c>
      <c r="D3" s="4">
        <f t="shared" si="1"/>
        <v>-0.0288</v>
      </c>
      <c r="E3" s="4" t="s">
        <v>6</v>
      </c>
    </row>
    <row r="4">
      <c r="A4" s="3" t="s">
        <v>8</v>
      </c>
      <c r="B4" s="4">
        <v>0.0</v>
      </c>
      <c r="C4" s="4">
        <v>0.0</v>
      </c>
      <c r="D4" s="4">
        <f t="shared" si="1"/>
        <v>0</v>
      </c>
      <c r="E4" s="4" t="s">
        <v>9</v>
      </c>
    </row>
    <row r="5">
      <c r="A5" s="3" t="s">
        <v>10</v>
      </c>
      <c r="B5" s="4">
        <v>0.3</v>
      </c>
      <c r="C5" s="4">
        <v>0.3</v>
      </c>
      <c r="D5" s="4">
        <f t="shared" si="1"/>
        <v>0</v>
      </c>
      <c r="E5" s="4" t="s">
        <v>9</v>
      </c>
    </row>
    <row r="6">
      <c r="A6" s="3" t="s">
        <v>11</v>
      </c>
      <c r="B6" s="4">
        <v>0.7667</v>
      </c>
      <c r="C6" s="4">
        <v>0.8667</v>
      </c>
      <c r="D6" s="4">
        <f t="shared" si="1"/>
        <v>0.1</v>
      </c>
      <c r="E6" s="4" t="s">
        <v>9</v>
      </c>
    </row>
    <row r="7">
      <c r="A7" s="3" t="s">
        <v>12</v>
      </c>
      <c r="B7" s="4">
        <v>0.4163</v>
      </c>
      <c r="C7" s="4">
        <v>0.4578</v>
      </c>
      <c r="D7" s="4">
        <f t="shared" si="1"/>
        <v>0.0415</v>
      </c>
      <c r="E7" s="4" t="s">
        <v>9</v>
      </c>
    </row>
    <row r="8">
      <c r="A8" s="3" t="s">
        <v>13</v>
      </c>
      <c r="B8" s="4">
        <v>9793.27</v>
      </c>
      <c r="C8" s="4">
        <v>1036.53</v>
      </c>
      <c r="D8" s="4">
        <f t="shared" si="1"/>
        <v>-8756.74</v>
      </c>
      <c r="E8" s="4" t="s">
        <v>14</v>
      </c>
    </row>
    <row r="9">
      <c r="A9" s="3" t="s">
        <v>15</v>
      </c>
      <c r="B9" s="4">
        <v>12617.17</v>
      </c>
      <c r="C9" s="4">
        <v>1562.49</v>
      </c>
      <c r="D9" s="4">
        <f t="shared" si="1"/>
        <v>-11054.68</v>
      </c>
      <c r="E9" s="4" t="s">
        <v>14</v>
      </c>
    </row>
  </sheetData>
  <drawing r:id="rId1"/>
</worksheet>
</file>